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All\Work\Financial\excel\Fair Value Models\"/>
    </mc:Choice>
  </mc:AlternateContent>
  <xr:revisionPtr revIDLastSave="0" documentId="13_ncr:1_{F9546FDF-D1BC-444E-B490-D3E28B4A8A77}" xr6:coauthVersionLast="47" xr6:coauthVersionMax="47" xr10:uidLastSave="{00000000-0000-0000-0000-000000000000}"/>
  <bookViews>
    <workbookView xWindow="-108" yWindow="-108" windowWidth="23256" windowHeight="12600" activeTab="5" xr2:uid="{94720B1D-746D-414E-BBEF-334868555B08}"/>
  </bookViews>
  <sheets>
    <sheet name="DDM" sheetId="1" r:id="rId1"/>
    <sheet name="DCF" sheetId="2" r:id="rId2"/>
    <sheet name="Multiples" sheetId="3" r:id="rId3"/>
    <sheet name="Graham's Revised" sheetId="4" r:id="rId4"/>
    <sheet name="Peter Lynch's Adapted FV" sheetId="7" r:id="rId5"/>
    <sheet name="Final Valuation Analysis" sheetId="6" r:id="rId6"/>
  </sheets>
  <definedNames>
    <definedName name="solver_adj" localSheetId="0" hidden="1">DDM!$I$16</definedName>
    <definedName name="solver_cvg" localSheetId="0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0" localSheetId="0" hidden="1">DDM!$B$13:$E$13</definedName>
    <definedName name="solver_lhs1" localSheetId="0" hidden="1">DDM!$B$13:$E$13</definedName>
    <definedName name="solver_lhs2" localSheetId="0" hidden="1">DDM!$B$13:$E$13</definedName>
    <definedName name="solver_lhs3" localSheetId="0" hidden="1">DDM!$B$13:$E$13</definedName>
    <definedName name="solver_mip" localSheetId="0" hidden="1">2147483647</definedName>
    <definedName name="solver_mni" localSheetId="0" hidden="1">30</definedName>
    <definedName name="solver_mrt" localSheetId="0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DDM!$I$19</definedName>
    <definedName name="solver_pre" localSheetId="0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0" hidden="1">1</definedName>
    <definedName name="solver_rel0" localSheetId="0" hidden="1">3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hs0" localSheetId="0" hidden="1">DDM!$B$8:$E$8</definedName>
    <definedName name="solver_rhs1" localSheetId="0" hidden="1">DDM!$B$8:$E$8</definedName>
    <definedName name="solver_rhs2" localSheetId="0" hidden="1">DDM!$B$9:$E$9</definedName>
    <definedName name="solver_rhs3" localSheetId="0" hidden="1">DDM!$B$8:$E$8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218.3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C7" i="6"/>
  <c r="C6" i="7"/>
  <c r="C10" i="7" s="1"/>
  <c r="C6" i="6"/>
  <c r="C4" i="6"/>
  <c r="C11" i="4"/>
  <c r="C13" i="3"/>
  <c r="C5" i="6" s="1"/>
  <c r="C10" i="3"/>
  <c r="C9" i="3"/>
  <c r="F7" i="3"/>
  <c r="F6" i="3"/>
  <c r="F5" i="3"/>
  <c r="F4" i="3"/>
  <c r="C21" i="2"/>
  <c r="K5" i="2"/>
  <c r="E5" i="2"/>
  <c r="F5" i="2"/>
  <c r="G5" i="2"/>
  <c r="H5" i="2"/>
  <c r="I5" i="2"/>
  <c r="J5" i="2"/>
  <c r="L5" i="2"/>
  <c r="D5" i="2"/>
  <c r="C6" i="2" s="1"/>
  <c r="C10" i="2" s="1"/>
  <c r="I19" i="1"/>
  <c r="D16" i="1"/>
  <c r="D19" i="1" s="1"/>
  <c r="I15" i="1"/>
  <c r="D15" i="1"/>
  <c r="D11" i="1"/>
  <c r="D5" i="1"/>
  <c r="D6" i="1"/>
  <c r="E5" i="1" s="1"/>
  <c r="D7" i="1"/>
  <c r="E6" i="1" s="1"/>
  <c r="D8" i="1"/>
  <c r="E8" i="1" s="1"/>
  <c r="D9" i="1"/>
  <c r="D10" i="1"/>
  <c r="E9" i="1" s="1"/>
  <c r="D12" i="1"/>
  <c r="E12" i="1" s="1"/>
  <c r="D13" i="1"/>
  <c r="D4" i="1"/>
  <c r="E4" i="1" s="1"/>
  <c r="D20" i="1" l="1"/>
  <c r="C3" i="6"/>
  <c r="C14" i="6" s="1"/>
  <c r="D10" i="2"/>
  <c r="C11" i="2"/>
  <c r="I20" i="1"/>
  <c r="E7" i="1"/>
  <c r="E10" i="1"/>
  <c r="E11" i="1"/>
  <c r="C12" i="6" l="1"/>
  <c r="D11" i="2"/>
  <c r="E10" i="2"/>
  <c r="E11" i="2" l="1"/>
  <c r="F10" i="2"/>
  <c r="G10" i="2" l="1"/>
  <c r="F11" i="2"/>
  <c r="H10" i="2" l="1"/>
  <c r="G11" i="2"/>
  <c r="I10" i="2" l="1"/>
  <c r="H11" i="2"/>
  <c r="J10" i="2" l="1"/>
  <c r="I11" i="2"/>
  <c r="K10" i="2" l="1"/>
  <c r="J11" i="2"/>
  <c r="K11" i="2" l="1"/>
  <c r="L10" i="2"/>
  <c r="L11" i="2" s="1"/>
  <c r="C15" i="2" s="1"/>
  <c r="C18" i="2" s="1"/>
  <c r="C2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F7780F-56DA-4C10-9A0A-6585656145F2}" keepAlive="1" name="Query - BND_data" description="Connection to the 'BND_data' query in the workbook." type="5" refreshedVersion="0" background="1">
    <dbPr connection="Provider=Microsoft.Mashup.OleDb.1;Data Source=$Workbook$;Location=BND_data;Extended Properties=&quot;&quot;" command="SELECT * FROM [BND_data]"/>
  </connection>
</connections>
</file>

<file path=xl/sharedStrings.xml><?xml version="1.0" encoding="utf-8"?>
<sst xmlns="http://schemas.openxmlformats.org/spreadsheetml/2006/main" count="94" uniqueCount="67">
  <si>
    <t>Dividend Discount Model (DDM)</t>
  </si>
  <si>
    <t>Abbvie Inc. (ABBV)</t>
  </si>
  <si>
    <t>Year</t>
  </si>
  <si>
    <t>Quartely Dividend</t>
  </si>
  <si>
    <t>Annual Dividend</t>
  </si>
  <si>
    <t>Growth</t>
  </si>
  <si>
    <t>N/A</t>
  </si>
  <si>
    <t>Required Return (r)</t>
  </si>
  <si>
    <t>Current Price</t>
  </si>
  <si>
    <t>DDM Price</t>
  </si>
  <si>
    <t>Overvalued or Undervalued</t>
  </si>
  <si>
    <t>Dividend Growth (g)</t>
  </si>
  <si>
    <t>Required Return (R) Solver</t>
  </si>
  <si>
    <t>Discounted Cash Flow Analysis Model</t>
  </si>
  <si>
    <t>Free Cash Flow</t>
  </si>
  <si>
    <t>Average Growth Rate:</t>
  </si>
  <si>
    <t>Future Free Cash Flows</t>
  </si>
  <si>
    <t>Terminal Value</t>
  </si>
  <si>
    <t>Perpetual Growth Rate:</t>
  </si>
  <si>
    <t>Discount Rate:</t>
  </si>
  <si>
    <t>DCF Share Price</t>
  </si>
  <si>
    <t>Total FCF</t>
  </si>
  <si>
    <t>Cash + Equivalents</t>
  </si>
  <si>
    <t>Total Debt</t>
  </si>
  <si>
    <t>Equity Value</t>
  </si>
  <si>
    <t>Shares Outstanding</t>
  </si>
  <si>
    <t>Difference</t>
  </si>
  <si>
    <t>PV</t>
  </si>
  <si>
    <t>Margin of Safety</t>
  </si>
  <si>
    <t>Ticker</t>
  </si>
  <si>
    <t>Company Name</t>
  </si>
  <si>
    <t>Stock Price</t>
  </si>
  <si>
    <t>EPS</t>
  </si>
  <si>
    <t>P/E Multiple</t>
  </si>
  <si>
    <t>JNJ</t>
  </si>
  <si>
    <t>Average P/E</t>
  </si>
  <si>
    <t>Median P/E</t>
  </si>
  <si>
    <t>ABBV</t>
  </si>
  <si>
    <t>Johnson &amp; Johnson</t>
  </si>
  <si>
    <t>NVO</t>
  </si>
  <si>
    <t>Novo Nordisk</t>
  </si>
  <si>
    <t>PFE</t>
  </si>
  <si>
    <t>Pfizer Inc.</t>
  </si>
  <si>
    <t>UHN</t>
  </si>
  <si>
    <t>UnitedHealth Group Incorporated</t>
  </si>
  <si>
    <t>Benjamin Graham's Revised Valuation Model</t>
  </si>
  <si>
    <t>P/E Constant</t>
  </si>
  <si>
    <t>Growth Constant</t>
  </si>
  <si>
    <t>Current Yield of AAA Corp Bonds</t>
  </si>
  <si>
    <t>Average Yield of AAA Corp Bonds Constant</t>
  </si>
  <si>
    <t>Est. EPS Growth Rate</t>
  </si>
  <si>
    <t>Graham's Intrinsic Value</t>
  </si>
  <si>
    <t>Final Valuation Analysis</t>
  </si>
  <si>
    <t>Average Fair Value</t>
  </si>
  <si>
    <t>DDM</t>
  </si>
  <si>
    <t>DCF</t>
  </si>
  <si>
    <t>Multiples</t>
  </si>
  <si>
    <t>Graham's Revised</t>
  </si>
  <si>
    <t>MoS</t>
  </si>
  <si>
    <t>Limit Buy Price</t>
  </si>
  <si>
    <t>Peter Lynch's Adapted FV</t>
  </si>
  <si>
    <t>Fair Value</t>
  </si>
  <si>
    <t>PEG</t>
  </si>
  <si>
    <t>Projected EPS Growth Rate</t>
  </si>
  <si>
    <t>Forward P/E</t>
  </si>
  <si>
    <t>Multiples Valuation Model</t>
  </si>
  <si>
    <t>Forward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</si>
</sst>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  <numFmt numFmtId="165" formatCode="0.000%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1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vertical="center"/>
    </xf>
    <xf numFmtId="164" fontId="2" fillId="0" borderId="8" xfId="2" applyNumberFormat="1" applyFont="1" applyBorder="1" applyAlignment="1">
      <alignment vertical="center"/>
    </xf>
    <xf numFmtId="164" fontId="2" fillId="0" borderId="11" xfId="2" applyNumberFormat="1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vertical="center"/>
    </xf>
    <xf numFmtId="164" fontId="2" fillId="0" borderId="13" xfId="0" applyNumberFormat="1" applyFont="1" applyBorder="1" applyAlignment="1">
      <alignment vertical="center"/>
    </xf>
    <xf numFmtId="10" fontId="2" fillId="0" borderId="12" xfId="1" applyNumberFormat="1" applyFont="1" applyBorder="1" applyAlignment="1">
      <alignment horizontal="center" vertical="center"/>
    </xf>
    <xf numFmtId="10" fontId="2" fillId="5" borderId="11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10" fontId="2" fillId="8" borderId="5" xfId="0" applyNumberFormat="1" applyFont="1" applyFill="1" applyBorder="1" applyAlignment="1">
      <alignment horizontal="center" vertical="center"/>
    </xf>
    <xf numFmtId="9" fontId="2" fillId="7" borderId="11" xfId="0" applyNumberFormat="1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vertical="center"/>
    </xf>
    <xf numFmtId="164" fontId="2" fillId="0" borderId="12" xfId="0" applyNumberFormat="1" applyFont="1" applyBorder="1" applyAlignment="1">
      <alignment horizontal="left" vertical="center"/>
    </xf>
    <xf numFmtId="164" fontId="2" fillId="6" borderId="14" xfId="0" applyNumberFormat="1" applyFont="1" applyFill="1" applyBorder="1" applyAlignment="1">
      <alignment vertical="center"/>
    </xf>
    <xf numFmtId="164" fontId="2" fillId="6" borderId="14" xfId="0" applyNumberFormat="1" applyFont="1" applyFill="1" applyBorder="1" applyAlignment="1">
      <alignment horizontal="left" vertical="center"/>
    </xf>
    <xf numFmtId="164" fontId="2" fillId="6" borderId="10" xfId="0" applyNumberFormat="1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164" fontId="4" fillId="9" borderId="14" xfId="0" applyNumberFormat="1" applyFont="1" applyFill="1" applyBorder="1" applyAlignment="1">
      <alignment vertical="center"/>
    </xf>
    <xf numFmtId="9" fontId="2" fillId="6" borderId="2" xfId="1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9" fontId="2" fillId="10" borderId="1" xfId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0" borderId="0" xfId="0" applyBorder="1"/>
    <xf numFmtId="0" fontId="1" fillId="3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left" vertical="center"/>
    </xf>
    <xf numFmtId="2" fontId="2" fillId="0" borderId="11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left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vertical="center"/>
    </xf>
    <xf numFmtId="0" fontId="1" fillId="5" borderId="7" xfId="0" applyFont="1" applyFill="1" applyBorder="1" applyAlignment="1">
      <alignment horizontal="center" vertical="center"/>
    </xf>
    <xf numFmtId="166" fontId="2" fillId="5" borderId="1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0" fillId="0" borderId="0" xfId="0" applyFill="1" applyBorder="1"/>
    <xf numFmtId="164" fontId="2" fillId="6" borderId="1" xfId="0" applyNumberFormat="1" applyFont="1" applyFill="1" applyBorder="1" applyAlignment="1">
      <alignment horizontal="center" vertical="center"/>
    </xf>
    <xf numFmtId="164" fontId="2" fillId="6" borderId="1" xfId="2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64" fontId="2" fillId="6" borderId="10" xfId="0" applyNumberFormat="1" applyFont="1" applyFill="1" applyBorder="1" applyAlignment="1">
      <alignment horizontal="center" vertical="center"/>
    </xf>
    <xf numFmtId="10" fontId="2" fillId="6" borderId="14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vertical="center"/>
    </xf>
    <xf numFmtId="164" fontId="5" fillId="9" borderId="1" xfId="0" applyNumberFormat="1" applyFont="1" applyFill="1" applyBorder="1" applyAlignment="1">
      <alignment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64" fontId="2" fillId="6" borderId="5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2" fontId="2" fillId="0" borderId="1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center" vertical="center"/>
    </xf>
    <xf numFmtId="165" fontId="2" fillId="0" borderId="5" xfId="1" applyNumberFormat="1" applyFont="1" applyFill="1" applyBorder="1" applyAlignment="1">
      <alignment horizontal="center" vertical="center"/>
    </xf>
    <xf numFmtId="10" fontId="2" fillId="0" borderId="3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64" fontId="2" fillId="0" borderId="3" xfId="2" applyNumberFormat="1" applyFont="1" applyFill="1" applyBorder="1" applyAlignment="1">
      <alignment horizontal="center" vertical="center"/>
    </xf>
    <xf numFmtId="164" fontId="2" fillId="0" borderId="5" xfId="2" applyNumberFormat="1" applyFont="1" applyFill="1" applyBorder="1" applyAlignment="1">
      <alignment horizontal="center" vertical="center"/>
    </xf>
    <xf numFmtId="164" fontId="4" fillId="9" borderId="3" xfId="2" applyNumberFormat="1" applyFont="1" applyFill="1" applyBorder="1" applyAlignment="1">
      <alignment horizontal="center" vertical="center"/>
    </xf>
    <xf numFmtId="164" fontId="4" fillId="9" borderId="5" xfId="2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9" fontId="1" fillId="3" borderId="3" xfId="0" applyNumberFormat="1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164" fontId="2" fillId="9" borderId="3" xfId="2" applyNumberFormat="1" applyFont="1" applyFill="1" applyBorder="1" applyAlignment="1">
      <alignment horizontal="center" vertical="center"/>
    </xf>
    <xf numFmtId="164" fontId="2" fillId="9" borderId="5" xfId="2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1" xfId="0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Personalizado 1">
      <a:dk1>
        <a:srgbClr val="000000"/>
      </a:dk1>
      <a:lt1>
        <a:sysClr val="window" lastClr="FFFFFF"/>
      </a:lt1>
      <a:dk2>
        <a:srgbClr val="70AD47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F8DF-7194-420D-8305-B51EA05975FB}">
  <dimension ref="B1:J20"/>
  <sheetViews>
    <sheetView zoomScaleNormal="100" workbookViewId="0">
      <selection activeCell="F23" sqref="F23"/>
    </sheetView>
  </sheetViews>
  <sheetFormatPr defaultColWidth="20.77734375" defaultRowHeight="15" customHeight="1" x14ac:dyDescent="0.3"/>
  <cols>
    <col min="1" max="1" width="10" customWidth="1"/>
    <col min="2" max="5" width="15.77734375" customWidth="1"/>
    <col min="6" max="6" width="5.77734375" customWidth="1"/>
    <col min="7" max="8" width="10.77734375" customWidth="1"/>
    <col min="9" max="10" width="5.77734375" customWidth="1"/>
  </cols>
  <sheetData>
    <row r="1" spans="2:10" ht="15" customHeight="1" x14ac:dyDescent="0.3">
      <c r="B1" s="102" t="s">
        <v>0</v>
      </c>
      <c r="C1" s="102"/>
      <c r="D1" s="102"/>
      <c r="E1" s="102"/>
    </row>
    <row r="2" spans="2:10" ht="15" customHeight="1" x14ac:dyDescent="0.3">
      <c r="B2" s="101" t="s">
        <v>1</v>
      </c>
      <c r="C2" s="101"/>
      <c r="D2" s="101"/>
      <c r="E2" s="101"/>
    </row>
    <row r="3" spans="2:10" ht="15" customHeight="1" x14ac:dyDescent="0.3">
      <c r="B3" s="6" t="s">
        <v>2</v>
      </c>
      <c r="C3" s="6" t="s">
        <v>3</v>
      </c>
      <c r="D3" s="6" t="s">
        <v>4</v>
      </c>
      <c r="E3" s="5" t="s">
        <v>5</v>
      </c>
    </row>
    <row r="4" spans="2:10" ht="15" customHeight="1" x14ac:dyDescent="0.3">
      <c r="B4" s="1">
        <v>2025</v>
      </c>
      <c r="C4" s="7">
        <v>1.64</v>
      </c>
      <c r="D4" s="7">
        <f>C4*4</f>
        <v>6.56</v>
      </c>
      <c r="E4" s="8">
        <f>(D4-D5)/D5</f>
        <v>5.8064516129032163E-2</v>
      </c>
    </row>
    <row r="5" spans="2:10" ht="15" customHeight="1" x14ac:dyDescent="0.3">
      <c r="B5" s="1">
        <v>2024</v>
      </c>
      <c r="C5" s="7">
        <v>1.55</v>
      </c>
      <c r="D5" s="7">
        <f t="shared" ref="D5:D13" si="0">C5*4</f>
        <v>6.2</v>
      </c>
      <c r="E5" s="8">
        <f t="shared" ref="E5:E12" si="1">(D5-D6)/D6</f>
        <v>4.7297297297297342E-2</v>
      </c>
    </row>
    <row r="6" spans="2:10" ht="15" customHeight="1" x14ac:dyDescent="0.3">
      <c r="B6" s="1">
        <v>2023</v>
      </c>
      <c r="C6" s="7">
        <v>1.48</v>
      </c>
      <c r="D6" s="7">
        <f t="shared" si="0"/>
        <v>5.92</v>
      </c>
      <c r="E6" s="8">
        <f t="shared" si="1"/>
        <v>4.964539007092203E-2</v>
      </c>
    </row>
    <row r="7" spans="2:10" ht="15" customHeight="1" x14ac:dyDescent="0.3">
      <c r="B7" s="1">
        <v>2022</v>
      </c>
      <c r="C7" s="7">
        <v>1.41</v>
      </c>
      <c r="D7" s="7">
        <f t="shared" si="0"/>
        <v>5.64</v>
      </c>
      <c r="E7" s="8">
        <f t="shared" si="1"/>
        <v>8.4615384615384523E-2</v>
      </c>
    </row>
    <row r="8" spans="2:10" ht="15" customHeight="1" x14ac:dyDescent="0.3">
      <c r="B8" s="1">
        <v>2021</v>
      </c>
      <c r="C8" s="7">
        <v>1.3</v>
      </c>
      <c r="D8" s="7">
        <f t="shared" si="0"/>
        <v>5.2</v>
      </c>
      <c r="E8" s="8">
        <f t="shared" si="1"/>
        <v>0.10169491525423738</v>
      </c>
    </row>
    <row r="9" spans="2:10" ht="15" customHeight="1" x14ac:dyDescent="0.3">
      <c r="B9" s="1">
        <v>2020</v>
      </c>
      <c r="C9" s="7">
        <v>1.18</v>
      </c>
      <c r="D9" s="7">
        <f t="shared" si="0"/>
        <v>4.72</v>
      </c>
      <c r="E9" s="8">
        <f t="shared" si="1"/>
        <v>0.10280373831775688</v>
      </c>
    </row>
    <row r="10" spans="2:10" ht="15" customHeight="1" x14ac:dyDescent="0.3">
      <c r="B10" s="1">
        <v>2019</v>
      </c>
      <c r="C10" s="7">
        <v>1.07</v>
      </c>
      <c r="D10" s="7">
        <f t="shared" si="0"/>
        <v>4.28</v>
      </c>
      <c r="E10" s="8">
        <f t="shared" si="1"/>
        <v>0.19220055710306419</v>
      </c>
    </row>
    <row r="11" spans="2:10" ht="15" customHeight="1" x14ac:dyDescent="0.3">
      <c r="B11" s="1">
        <v>2018</v>
      </c>
      <c r="C11" s="7">
        <v>0.96</v>
      </c>
      <c r="D11" s="9">
        <f>C11*3 + 0.71</f>
        <v>3.59</v>
      </c>
      <c r="E11" s="8">
        <f t="shared" si="1"/>
        <v>0.40234374999999989</v>
      </c>
    </row>
    <row r="12" spans="2:10" ht="15" customHeight="1" x14ac:dyDescent="0.3">
      <c r="B12" s="1">
        <v>2017</v>
      </c>
      <c r="C12" s="7">
        <v>0.64</v>
      </c>
      <c r="D12" s="7">
        <f t="shared" si="0"/>
        <v>2.56</v>
      </c>
      <c r="E12" s="8">
        <f t="shared" si="1"/>
        <v>0.12280701754385977</v>
      </c>
    </row>
    <row r="13" spans="2:10" ht="15" customHeight="1" x14ac:dyDescent="0.3">
      <c r="B13" s="1">
        <v>2016</v>
      </c>
      <c r="C13" s="7">
        <v>0.56999999999999995</v>
      </c>
      <c r="D13" s="7">
        <f t="shared" si="0"/>
        <v>2.2799999999999998</v>
      </c>
      <c r="E13" s="2" t="s">
        <v>6</v>
      </c>
      <c r="G13" s="102" t="s">
        <v>12</v>
      </c>
      <c r="H13" s="102"/>
      <c r="I13" s="102"/>
      <c r="J13" s="102"/>
    </row>
    <row r="14" spans="2:10" ht="4.95" customHeight="1" x14ac:dyDescent="0.3">
      <c r="B14" s="104"/>
      <c r="C14" s="105"/>
      <c r="D14" s="105"/>
      <c r="E14" s="106"/>
    </row>
    <row r="15" spans="2:10" ht="15" customHeight="1" x14ac:dyDescent="0.3">
      <c r="B15" s="91" t="s">
        <v>11</v>
      </c>
      <c r="C15" s="92"/>
      <c r="D15" s="93">
        <f>GEOMEAN(E4:E12)</f>
        <v>0.10151984796433447</v>
      </c>
      <c r="E15" s="94"/>
      <c r="G15" s="107" t="s">
        <v>11</v>
      </c>
      <c r="H15" s="108"/>
      <c r="I15" s="93">
        <f>D15</f>
        <v>0.10151984796433447</v>
      </c>
      <c r="J15" s="94"/>
    </row>
    <row r="16" spans="2:10" ht="15" customHeight="1" x14ac:dyDescent="0.3">
      <c r="B16" s="91" t="s">
        <v>7</v>
      </c>
      <c r="C16" s="92"/>
      <c r="D16" s="95">
        <f>(D4*(1-D15)/D18)+D15</f>
        <v>0.12685090262031679</v>
      </c>
      <c r="E16" s="96"/>
      <c r="G16" s="107" t="s">
        <v>7</v>
      </c>
      <c r="H16" s="108"/>
      <c r="I16" s="95">
        <v>0.13156000000000001</v>
      </c>
      <c r="J16" s="96"/>
    </row>
    <row r="17" spans="2:10" ht="4.95" customHeight="1" x14ac:dyDescent="0.3">
      <c r="B17" s="104"/>
      <c r="C17" s="105"/>
      <c r="D17" s="105"/>
      <c r="E17" s="106"/>
      <c r="G17" s="109"/>
      <c r="H17" s="105"/>
      <c r="I17" s="105"/>
      <c r="J17" s="106"/>
    </row>
    <row r="18" spans="2:10" ht="15" customHeight="1" x14ac:dyDescent="0.3">
      <c r="B18" s="91" t="s">
        <v>8</v>
      </c>
      <c r="C18" s="92"/>
      <c r="D18" s="97">
        <v>232.68</v>
      </c>
      <c r="E18" s="98"/>
      <c r="G18" s="107" t="s">
        <v>8</v>
      </c>
      <c r="H18" s="108"/>
      <c r="I18" s="97">
        <v>218.3</v>
      </c>
      <c r="J18" s="98"/>
    </row>
    <row r="19" spans="2:10" ht="25.05" customHeight="1" x14ac:dyDescent="0.3">
      <c r="B19" s="110" t="s">
        <v>9</v>
      </c>
      <c r="C19" s="111"/>
      <c r="D19" s="99">
        <f>D4/(D16-D15)</f>
        <v>258.97066225984219</v>
      </c>
      <c r="E19" s="100"/>
      <c r="G19" s="110" t="s">
        <v>9</v>
      </c>
      <c r="H19" s="111"/>
      <c r="I19" s="112">
        <f>D4/(I16-I15)</f>
        <v>218.37439411796447</v>
      </c>
      <c r="J19" s="113"/>
    </row>
    <row r="20" spans="2:10" ht="15" customHeight="1" x14ac:dyDescent="0.3">
      <c r="B20" s="91" t="s">
        <v>10</v>
      </c>
      <c r="C20" s="92"/>
      <c r="D20" s="103" t="str">
        <f>IF(D19&gt;D18, "Undervalued", "Overvalued")</f>
        <v>Undervalued</v>
      </c>
      <c r="E20" s="96"/>
      <c r="G20" s="107" t="s">
        <v>10</v>
      </c>
      <c r="H20" s="108"/>
      <c r="I20" s="103" t="str">
        <f>IF(I19&gt;I18, "Undervalued", "Overvalued")</f>
        <v>Undervalued</v>
      </c>
      <c r="J20" s="96"/>
    </row>
  </sheetData>
  <mergeCells count="26">
    <mergeCell ref="G13:J13"/>
    <mergeCell ref="D20:E20"/>
    <mergeCell ref="B17:E17"/>
    <mergeCell ref="G15:H15"/>
    <mergeCell ref="I15:J15"/>
    <mergeCell ref="G16:H16"/>
    <mergeCell ref="I16:J16"/>
    <mergeCell ref="G17:J17"/>
    <mergeCell ref="G18:H18"/>
    <mergeCell ref="I18:J18"/>
    <mergeCell ref="G19:H19"/>
    <mergeCell ref="I19:J19"/>
    <mergeCell ref="G20:H20"/>
    <mergeCell ref="I20:J20"/>
    <mergeCell ref="B14:E14"/>
    <mergeCell ref="B19:C19"/>
    <mergeCell ref="B2:E2"/>
    <mergeCell ref="B1:E1"/>
    <mergeCell ref="B15:C15"/>
    <mergeCell ref="B16:C16"/>
    <mergeCell ref="B18:C18"/>
    <mergeCell ref="B20:C20"/>
    <mergeCell ref="D15:E15"/>
    <mergeCell ref="D16:E16"/>
    <mergeCell ref="D18:E18"/>
    <mergeCell ref="D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6E65-CB61-4553-BD4F-E3D2E2C5FD26}">
  <dimension ref="B1:L25"/>
  <sheetViews>
    <sheetView workbookViewId="0">
      <selection activeCell="C23" sqref="C23"/>
    </sheetView>
  </sheetViews>
  <sheetFormatPr defaultRowHeight="14.4" x14ac:dyDescent="0.3"/>
  <cols>
    <col min="1" max="1" width="5.77734375" customWidth="1"/>
    <col min="2" max="2" width="20.88671875" customWidth="1"/>
    <col min="3" max="15" width="15.77734375" customWidth="1"/>
  </cols>
  <sheetData>
    <row r="1" spans="2:12" x14ac:dyDescent="0.3">
      <c r="B1" s="117" t="s">
        <v>13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2:12" x14ac:dyDescent="0.3">
      <c r="B2" s="118" t="s">
        <v>1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</row>
    <row r="3" spans="2:12" x14ac:dyDescent="0.3">
      <c r="B3" s="15" t="s">
        <v>2</v>
      </c>
      <c r="C3" s="12">
        <v>2015</v>
      </c>
      <c r="D3" s="12">
        <v>2016</v>
      </c>
      <c r="E3" s="12">
        <v>2017</v>
      </c>
      <c r="F3" s="12">
        <v>2018</v>
      </c>
      <c r="G3" s="12">
        <v>2019</v>
      </c>
      <c r="H3" s="12">
        <v>2020</v>
      </c>
      <c r="I3" s="12">
        <v>2021</v>
      </c>
      <c r="J3" s="12">
        <v>2022</v>
      </c>
      <c r="K3" s="12">
        <v>2023</v>
      </c>
      <c r="L3" s="13">
        <v>2024</v>
      </c>
    </row>
    <row r="4" spans="2:12" x14ac:dyDescent="0.3">
      <c r="B4" s="16" t="s">
        <v>14</v>
      </c>
      <c r="C4" s="27">
        <v>7003</v>
      </c>
      <c r="D4" s="28">
        <v>6562</v>
      </c>
      <c r="E4" s="28">
        <v>9431</v>
      </c>
      <c r="F4" s="28">
        <v>12789</v>
      </c>
      <c r="G4" s="28">
        <v>12772</v>
      </c>
      <c r="H4" s="28">
        <v>16790</v>
      </c>
      <c r="I4" s="28">
        <v>21990</v>
      </c>
      <c r="J4" s="28">
        <v>24248</v>
      </c>
      <c r="K4" s="28">
        <v>22062</v>
      </c>
      <c r="L4" s="29">
        <v>17832</v>
      </c>
    </row>
    <row r="5" spans="2:12" x14ac:dyDescent="0.3">
      <c r="B5" s="14" t="s">
        <v>5</v>
      </c>
      <c r="C5" s="30" t="s">
        <v>6</v>
      </c>
      <c r="D5" s="33">
        <f>(D4-C4)/C4</f>
        <v>-6.2973011566471518E-2</v>
      </c>
      <c r="E5" s="33">
        <f t="shared" ref="E5:L5" si="0">(E4-D4)/D4</f>
        <v>0.43721426394391955</v>
      </c>
      <c r="F5" s="33">
        <f t="shared" si="0"/>
        <v>0.35605980277807231</v>
      </c>
      <c r="G5" s="33">
        <f t="shared" si="0"/>
        <v>-1.3292673391195559E-3</v>
      </c>
      <c r="H5" s="33">
        <f t="shared" si="0"/>
        <v>0.31459442530535547</v>
      </c>
      <c r="I5" s="33">
        <f t="shared" si="0"/>
        <v>0.3097081596188207</v>
      </c>
      <c r="J5" s="33">
        <f t="shared" si="0"/>
        <v>0.10268303774442929</v>
      </c>
      <c r="K5" s="33">
        <f>(K4-J4)/J4</f>
        <v>-9.0151765094028377E-2</v>
      </c>
      <c r="L5" s="33">
        <f t="shared" si="0"/>
        <v>-0.19173239053576285</v>
      </c>
    </row>
    <row r="6" spans="2:12" x14ac:dyDescent="0.3">
      <c r="B6" s="20" t="s">
        <v>15</v>
      </c>
      <c r="C6" s="34">
        <f>AVERAGE(D5:L5)</f>
        <v>0.13045258387280165</v>
      </c>
      <c r="D6" s="19"/>
      <c r="E6" s="19"/>
      <c r="F6" s="19"/>
      <c r="G6" s="19"/>
      <c r="H6" s="19"/>
      <c r="I6" s="19"/>
      <c r="J6" s="19"/>
      <c r="K6" s="19"/>
      <c r="L6" s="19"/>
    </row>
    <row r="7" spans="2:12" ht="4.95" customHeight="1" x14ac:dyDescent="0.3">
      <c r="B7" s="114"/>
      <c r="C7" s="115"/>
      <c r="D7" s="115"/>
      <c r="E7" s="115"/>
      <c r="F7" s="115"/>
      <c r="G7" s="115"/>
      <c r="H7" s="115"/>
      <c r="I7" s="115"/>
      <c r="J7" s="115"/>
      <c r="K7" s="115"/>
      <c r="L7" s="116"/>
    </row>
    <row r="8" spans="2:12" x14ac:dyDescent="0.3">
      <c r="B8" s="19"/>
      <c r="C8" s="21">
        <v>1</v>
      </c>
      <c r="D8" s="22">
        <v>2</v>
      </c>
      <c r="E8" s="22">
        <v>3</v>
      </c>
      <c r="F8" s="22">
        <v>4</v>
      </c>
      <c r="G8" s="22">
        <v>5</v>
      </c>
      <c r="H8" s="22">
        <v>6</v>
      </c>
      <c r="I8" s="22">
        <v>7</v>
      </c>
      <c r="J8" s="22">
        <v>8</v>
      </c>
      <c r="K8" s="22">
        <v>9</v>
      </c>
      <c r="L8" s="23">
        <v>10</v>
      </c>
    </row>
    <row r="9" spans="2:12" x14ac:dyDescent="0.3">
      <c r="B9" s="15" t="s">
        <v>2</v>
      </c>
      <c r="C9" s="12">
        <v>2026</v>
      </c>
      <c r="D9" s="12">
        <v>2027</v>
      </c>
      <c r="E9" s="12">
        <v>2028</v>
      </c>
      <c r="F9" s="12">
        <v>2029</v>
      </c>
      <c r="G9" s="12">
        <v>2030</v>
      </c>
      <c r="H9" s="12">
        <v>2031</v>
      </c>
      <c r="I9" s="12">
        <v>2032</v>
      </c>
      <c r="J9" s="12">
        <v>2033</v>
      </c>
      <c r="K9" s="12">
        <v>2034</v>
      </c>
      <c r="L9" s="13" t="s">
        <v>17</v>
      </c>
    </row>
    <row r="10" spans="2:12" x14ac:dyDescent="0.3">
      <c r="B10" s="16" t="s">
        <v>16</v>
      </c>
      <c r="C10" s="35">
        <f>L4*(1+C6)</f>
        <v>20158.230475619799</v>
      </c>
      <c r="D10" s="35">
        <f>C10*(1+$C$6)</f>
        <v>22787.923727467856</v>
      </c>
      <c r="E10" s="35">
        <f>D10*(1+$C$6)</f>
        <v>25760.667258812366</v>
      </c>
      <c r="F10" s="35">
        <f t="shared" ref="F10:J10" si="1">E10*(1+$C$6)</f>
        <v>29121.212865011923</v>
      </c>
      <c r="G10" s="35">
        <f t="shared" si="1"/>
        <v>32920.150328762604</v>
      </c>
      <c r="H10" s="35">
        <f t="shared" si="1"/>
        <v>37214.669000630747</v>
      </c>
      <c r="I10" s="35">
        <f t="shared" si="1"/>
        <v>42069.418729734083</v>
      </c>
      <c r="J10" s="35">
        <f t="shared" si="1"/>
        <v>47557.483105054729</v>
      </c>
      <c r="K10" s="35">
        <f>J10*(1+$C$6)</f>
        <v>53761.479658596232</v>
      </c>
      <c r="L10" s="38">
        <f>K10*(1+C12)/(C13-C12)</f>
        <v>1001918.484546566</v>
      </c>
    </row>
    <row r="11" spans="2:12" x14ac:dyDescent="0.3">
      <c r="B11" s="14" t="s">
        <v>27</v>
      </c>
      <c r="C11" s="39">
        <f>C10/(1+$C$13)^C8</f>
        <v>18665.028218166481</v>
      </c>
      <c r="D11" s="31">
        <f>D10/(1+$C$13)^D8</f>
        <v>19536.971645634305</v>
      </c>
      <c r="E11" s="31">
        <f t="shared" ref="E11:L11" si="2">E10/(1+$C$13)^E8</f>
        <v>20449.64822023793</v>
      </c>
      <c r="F11" s="31">
        <f t="shared" si="2"/>
        <v>21404.960805423896</v>
      </c>
      <c r="G11" s="31">
        <f t="shared" si="2"/>
        <v>22404.901157581007</v>
      </c>
      <c r="H11" s="31">
        <f t="shared" si="2"/>
        <v>23451.554078705714</v>
      </c>
      <c r="I11" s="31">
        <f t="shared" si="2"/>
        <v>24547.101763060757</v>
      </c>
      <c r="J11" s="31">
        <f t="shared" si="2"/>
        <v>25693.828346889477</v>
      </c>
      <c r="K11" s="31">
        <f t="shared" si="2"/>
        <v>26894.12467067171</v>
      </c>
      <c r="L11" s="32">
        <f t="shared" si="2"/>
        <v>464082.11763364472</v>
      </c>
    </row>
    <row r="12" spans="2:12" x14ac:dyDescent="0.3">
      <c r="B12" s="18" t="s">
        <v>18</v>
      </c>
      <c r="C12" s="36">
        <v>2.5000000000000001E-2</v>
      </c>
      <c r="D12" s="19"/>
      <c r="E12" s="19"/>
      <c r="F12" s="19"/>
      <c r="G12" s="19"/>
      <c r="H12" s="19"/>
      <c r="I12" s="19"/>
      <c r="J12" s="19"/>
      <c r="K12" s="19"/>
      <c r="L12" s="19"/>
    </row>
    <row r="13" spans="2:12" x14ac:dyDescent="0.3">
      <c r="B13" s="24" t="s">
        <v>19</v>
      </c>
      <c r="C13" s="37">
        <v>0.08</v>
      </c>
      <c r="D13" s="19"/>
      <c r="E13" s="19"/>
      <c r="F13" s="19"/>
      <c r="G13" s="19"/>
      <c r="H13" s="19"/>
      <c r="I13" s="19"/>
      <c r="J13" s="19"/>
      <c r="K13" s="19"/>
      <c r="L13" s="19"/>
    </row>
    <row r="14" spans="2:12" ht="4.95" customHeight="1" x14ac:dyDescent="0.3">
      <c r="B14" s="114"/>
      <c r="C14" s="115"/>
      <c r="D14" s="115"/>
      <c r="E14" s="115"/>
      <c r="F14" s="115"/>
      <c r="G14" s="115"/>
      <c r="H14" s="115"/>
      <c r="I14" s="115"/>
      <c r="J14" s="115"/>
      <c r="K14" s="115"/>
      <c r="L14" s="116"/>
    </row>
    <row r="15" spans="2:12" x14ac:dyDescent="0.3">
      <c r="B15" s="16" t="s">
        <v>21</v>
      </c>
      <c r="C15" s="41">
        <f>SUM(C11:L11)</f>
        <v>667130.23654001602</v>
      </c>
      <c r="D15" s="19"/>
      <c r="E15" s="19"/>
      <c r="F15" s="19"/>
      <c r="G15" s="19"/>
      <c r="H15" s="19"/>
      <c r="I15" s="19"/>
      <c r="J15" s="19"/>
      <c r="K15" s="19"/>
      <c r="L15" s="19"/>
    </row>
    <row r="16" spans="2:12" x14ac:dyDescent="0.3">
      <c r="B16" s="16" t="s">
        <v>22</v>
      </c>
      <c r="C16" s="41">
        <v>5555</v>
      </c>
      <c r="D16" s="19"/>
      <c r="E16" s="19"/>
      <c r="F16" s="19"/>
      <c r="G16" s="19"/>
      <c r="H16" s="19"/>
      <c r="I16" s="19"/>
      <c r="J16" s="19"/>
      <c r="K16" s="19"/>
      <c r="L16" s="19"/>
    </row>
    <row r="17" spans="2:12" x14ac:dyDescent="0.3">
      <c r="B17" s="16" t="s">
        <v>23</v>
      </c>
      <c r="C17" s="41">
        <v>67144</v>
      </c>
      <c r="D17" s="19"/>
      <c r="E17" s="19"/>
      <c r="F17" s="19"/>
      <c r="G17" s="19"/>
      <c r="H17" s="19"/>
      <c r="I17" s="19"/>
      <c r="J17" s="19"/>
      <c r="K17" s="19"/>
      <c r="L17" s="19"/>
    </row>
    <row r="18" spans="2:12" x14ac:dyDescent="0.3">
      <c r="B18" s="15" t="s">
        <v>24</v>
      </c>
      <c r="C18" s="42">
        <f>C15+C16-C17</f>
        <v>605541.23654001602</v>
      </c>
      <c r="D18" s="19"/>
      <c r="E18" s="19"/>
      <c r="F18" s="19"/>
      <c r="G18" s="19"/>
      <c r="H18" s="19"/>
      <c r="I18" s="19"/>
      <c r="J18" s="19"/>
      <c r="K18" s="19"/>
      <c r="L18" s="19"/>
    </row>
    <row r="19" spans="2:12" x14ac:dyDescent="0.3">
      <c r="B19" s="14" t="s">
        <v>25</v>
      </c>
      <c r="C19" s="43">
        <v>1770</v>
      </c>
      <c r="D19" s="19"/>
      <c r="E19" s="19"/>
      <c r="F19" s="19"/>
      <c r="G19" s="19"/>
      <c r="H19" s="19"/>
      <c r="I19" s="19"/>
      <c r="J19" s="19"/>
      <c r="K19" s="19"/>
      <c r="L19" s="19"/>
    </row>
    <row r="20" spans="2:12" x14ac:dyDescent="0.3">
      <c r="B20" s="46" t="s">
        <v>28</v>
      </c>
      <c r="C20" s="47">
        <v>0.25</v>
      </c>
      <c r="D20" s="19"/>
      <c r="E20" s="19"/>
      <c r="F20" s="19"/>
      <c r="G20" s="19"/>
      <c r="H20" s="19"/>
      <c r="I20" s="19"/>
      <c r="J20" s="19"/>
      <c r="K20" s="19"/>
      <c r="L20" s="19"/>
    </row>
    <row r="21" spans="2:12" ht="30" customHeight="1" x14ac:dyDescent="0.3">
      <c r="B21" s="25" t="s">
        <v>20</v>
      </c>
      <c r="C21" s="44">
        <f>(C18/C19)*(1-C20)</f>
        <v>256.58526972034576</v>
      </c>
      <c r="D21" s="19"/>
      <c r="E21" s="19"/>
      <c r="F21" s="19"/>
      <c r="G21" s="19"/>
      <c r="H21" s="19"/>
      <c r="I21" s="19"/>
      <c r="J21" s="19"/>
      <c r="K21" s="19"/>
      <c r="L21" s="19"/>
    </row>
    <row r="22" spans="2:12" ht="4.95" customHeight="1" x14ac:dyDescent="0.3">
      <c r="B22" s="114"/>
      <c r="C22" s="115"/>
      <c r="D22" s="115"/>
      <c r="E22" s="115"/>
      <c r="F22" s="115"/>
      <c r="G22" s="115"/>
      <c r="H22" s="115"/>
      <c r="I22" s="115"/>
      <c r="J22" s="115"/>
      <c r="K22" s="115"/>
      <c r="L22" s="116"/>
    </row>
    <row r="23" spans="2:12" x14ac:dyDescent="0.3">
      <c r="B23" s="26" t="s">
        <v>8</v>
      </c>
      <c r="C23" s="40">
        <v>232.68</v>
      </c>
      <c r="D23" s="19"/>
      <c r="E23" s="19"/>
      <c r="F23" s="19"/>
      <c r="G23" s="19"/>
      <c r="H23" s="19"/>
      <c r="I23" s="19"/>
      <c r="J23" s="19"/>
      <c r="K23" s="19"/>
      <c r="L23" s="19"/>
    </row>
    <row r="24" spans="2:12" x14ac:dyDescent="0.3">
      <c r="B24" s="17" t="s">
        <v>26</v>
      </c>
      <c r="C24" s="45">
        <f>(C21-C23)/C23</f>
        <v>0.10273882465336839</v>
      </c>
      <c r="D24" s="19"/>
      <c r="E24" s="19"/>
      <c r="F24" s="19"/>
      <c r="G24" s="19"/>
      <c r="H24" s="19"/>
      <c r="I24" s="19"/>
      <c r="J24" s="19"/>
      <c r="K24" s="19"/>
      <c r="L24" s="19"/>
    </row>
    <row r="25" spans="2:12" x14ac:dyDescent="0.3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</sheetData>
  <sortState xmlns:xlrd2="http://schemas.microsoft.com/office/spreadsheetml/2017/richdata2" ref="C3:L3">
    <sortCondition ref="C3"/>
  </sortState>
  <mergeCells count="5">
    <mergeCell ref="B14:L14"/>
    <mergeCell ref="B22:L22"/>
    <mergeCell ref="B1:L1"/>
    <mergeCell ref="B2:L2"/>
    <mergeCell ref="B7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926F-BAFA-4FF0-A036-6C2C5263A41E}">
  <dimension ref="B1:L13"/>
  <sheetViews>
    <sheetView workbookViewId="0">
      <selection activeCell="C13" sqref="C13"/>
    </sheetView>
  </sheetViews>
  <sheetFormatPr defaultRowHeight="14.4" x14ac:dyDescent="0.3"/>
  <cols>
    <col min="1" max="1" width="5.77734375" customWidth="1"/>
    <col min="2" max="2" width="15.77734375" customWidth="1"/>
    <col min="3" max="3" width="26.21875" customWidth="1"/>
    <col min="4" max="15" width="15.77734375" customWidth="1"/>
  </cols>
  <sheetData>
    <row r="1" spans="2:12" x14ac:dyDescent="0.3">
      <c r="B1" s="91" t="s">
        <v>65</v>
      </c>
      <c r="C1" s="119"/>
      <c r="D1" s="119"/>
      <c r="E1" s="119"/>
      <c r="F1" s="92"/>
      <c r="G1" s="48"/>
      <c r="H1" s="48"/>
      <c r="I1" s="48"/>
      <c r="J1" s="48"/>
      <c r="K1" s="48"/>
      <c r="L1" s="48"/>
    </row>
    <row r="2" spans="2:12" x14ac:dyDescent="0.3">
      <c r="B2" s="120" t="s">
        <v>1</v>
      </c>
      <c r="C2" s="121"/>
      <c r="D2" s="121"/>
      <c r="E2" s="121"/>
      <c r="F2" s="122"/>
      <c r="G2" s="48"/>
      <c r="H2" s="48"/>
      <c r="I2" s="48"/>
      <c r="J2" s="48"/>
      <c r="K2" s="48"/>
      <c r="L2" s="48"/>
    </row>
    <row r="3" spans="2:12" x14ac:dyDescent="0.3">
      <c r="B3" s="51" t="s">
        <v>29</v>
      </c>
      <c r="C3" s="3" t="s">
        <v>30</v>
      </c>
      <c r="D3" s="3" t="s">
        <v>31</v>
      </c>
      <c r="E3" s="3" t="s">
        <v>32</v>
      </c>
      <c r="F3" s="4" t="s">
        <v>33</v>
      </c>
    </row>
    <row r="4" spans="2:12" x14ac:dyDescent="0.3">
      <c r="B4" s="50" t="s">
        <v>34</v>
      </c>
      <c r="C4" s="57" t="s">
        <v>38</v>
      </c>
      <c r="D4" s="61">
        <v>193.2</v>
      </c>
      <c r="E4" s="56">
        <v>10.43</v>
      </c>
      <c r="F4" s="62">
        <f>D4/E4</f>
        <v>18.523489932885905</v>
      </c>
    </row>
    <row r="5" spans="2:12" x14ac:dyDescent="0.3">
      <c r="B5" s="52" t="s">
        <v>39</v>
      </c>
      <c r="C5" s="58" t="s">
        <v>40</v>
      </c>
      <c r="D5" s="63">
        <v>49.15</v>
      </c>
      <c r="E5" s="59">
        <v>3.28</v>
      </c>
      <c r="F5" s="64">
        <f>D5/E5</f>
        <v>14.984756097560975</v>
      </c>
    </row>
    <row r="6" spans="2:12" x14ac:dyDescent="0.3">
      <c r="B6" s="52" t="s">
        <v>41</v>
      </c>
      <c r="C6" s="58" t="s">
        <v>42</v>
      </c>
      <c r="D6" s="63">
        <v>25.8</v>
      </c>
      <c r="E6" s="59">
        <v>1.73</v>
      </c>
      <c r="F6" s="64">
        <f>D6/E6</f>
        <v>14.913294797687861</v>
      </c>
    </row>
    <row r="7" spans="2:12" x14ac:dyDescent="0.3">
      <c r="B7" s="53" t="s">
        <v>43</v>
      </c>
      <c r="C7" s="60" t="s">
        <v>44</v>
      </c>
      <c r="D7" s="39">
        <v>340.02</v>
      </c>
      <c r="E7" s="65">
        <v>19.3</v>
      </c>
      <c r="F7" s="66">
        <f>D7/E7</f>
        <v>17.61761658031088</v>
      </c>
    </row>
    <row r="8" spans="2:12" ht="4.95" customHeight="1" x14ac:dyDescent="0.3">
      <c r="B8" s="123"/>
      <c r="C8" s="124"/>
      <c r="D8" s="124"/>
      <c r="E8" s="124"/>
      <c r="F8" s="125"/>
    </row>
    <row r="9" spans="2:12" x14ac:dyDescent="0.3">
      <c r="B9" s="67" t="s">
        <v>35</v>
      </c>
      <c r="C9" s="68">
        <f>AVERAGE(F4:F7)</f>
        <v>16.509789352111405</v>
      </c>
    </row>
    <row r="10" spans="2:12" x14ac:dyDescent="0.3">
      <c r="B10" s="69" t="s">
        <v>36</v>
      </c>
      <c r="C10" s="70">
        <f>MEDIAN(F4:F7)</f>
        <v>16.301186338935928</v>
      </c>
    </row>
    <row r="11" spans="2:12" ht="4.95" customHeight="1" x14ac:dyDescent="0.3">
      <c r="B11" s="123"/>
      <c r="C11" s="124"/>
      <c r="D11" s="124"/>
      <c r="E11" s="124"/>
      <c r="F11" s="125"/>
    </row>
    <row r="12" spans="2:12" x14ac:dyDescent="0.3">
      <c r="B12" s="14" t="s">
        <v>29</v>
      </c>
      <c r="C12" s="14" t="s">
        <v>31</v>
      </c>
      <c r="D12" s="14" t="s">
        <v>66</v>
      </c>
    </row>
    <row r="13" spans="2:12" ht="25.05" customHeight="1" x14ac:dyDescent="0.3">
      <c r="B13" s="83" t="s">
        <v>37</v>
      </c>
      <c r="C13" s="84">
        <f>C10*D13</f>
        <v>254.62453061417918</v>
      </c>
      <c r="D13" s="11">
        <v>15.62</v>
      </c>
    </row>
  </sheetData>
  <mergeCells count="4">
    <mergeCell ref="B1:F1"/>
    <mergeCell ref="B2:F2"/>
    <mergeCell ref="B8:F8"/>
    <mergeCell ref="B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B60D-CD3D-4870-BFF1-AC00D48DF8AB}">
  <dimension ref="B1:F12"/>
  <sheetViews>
    <sheetView workbookViewId="0">
      <selection activeCell="B5" sqref="B5"/>
    </sheetView>
  </sheetViews>
  <sheetFormatPr defaultRowHeight="14.4" x14ac:dyDescent="0.3"/>
  <cols>
    <col min="1" max="1" width="5.77734375" customWidth="1"/>
    <col min="2" max="2" width="35.77734375" customWidth="1"/>
    <col min="3" max="3" width="25.77734375" customWidth="1"/>
    <col min="4" max="15" width="10.77734375" customWidth="1"/>
  </cols>
  <sheetData>
    <row r="1" spans="2:6" x14ac:dyDescent="0.3">
      <c r="B1" s="91" t="s">
        <v>45</v>
      </c>
      <c r="C1" s="119"/>
      <c r="D1" s="71"/>
      <c r="E1" s="71"/>
      <c r="F1" s="71"/>
    </row>
    <row r="2" spans="2:6" x14ac:dyDescent="0.3">
      <c r="B2" s="120" t="s">
        <v>1</v>
      </c>
      <c r="C2" s="121"/>
      <c r="D2" s="71"/>
      <c r="E2" s="71"/>
      <c r="F2" s="71"/>
    </row>
    <row r="3" spans="2:6" x14ac:dyDescent="0.3">
      <c r="B3" s="10" t="s">
        <v>29</v>
      </c>
      <c r="C3" s="72" t="s">
        <v>37</v>
      </c>
    </row>
    <row r="4" spans="2:6" x14ac:dyDescent="0.3">
      <c r="B4" s="10" t="s">
        <v>66</v>
      </c>
      <c r="C4" s="73">
        <v>15.62</v>
      </c>
    </row>
    <row r="5" spans="2:6" x14ac:dyDescent="0.3">
      <c r="B5" s="10" t="s">
        <v>46</v>
      </c>
      <c r="C5" s="73">
        <v>7</v>
      </c>
    </row>
    <row r="6" spans="2:6" x14ac:dyDescent="0.3">
      <c r="B6" s="10" t="s">
        <v>50</v>
      </c>
      <c r="C6" s="74">
        <v>12.5</v>
      </c>
    </row>
    <row r="7" spans="2:6" x14ac:dyDescent="0.3">
      <c r="B7" s="10" t="s">
        <v>47</v>
      </c>
      <c r="C7" s="73">
        <v>1</v>
      </c>
    </row>
    <row r="8" spans="2:6" x14ac:dyDescent="0.3">
      <c r="B8" s="10" t="s">
        <v>49</v>
      </c>
      <c r="C8" s="73">
        <v>4.4000000000000004</v>
      </c>
    </row>
    <row r="9" spans="2:6" x14ac:dyDescent="0.3">
      <c r="B9" s="51" t="s">
        <v>48</v>
      </c>
      <c r="C9" s="74">
        <v>5.13</v>
      </c>
    </row>
    <row r="10" spans="2:6" s="54" customFormat="1" ht="4.95" customHeight="1" x14ac:dyDescent="0.3">
      <c r="B10" s="126"/>
      <c r="C10" s="127"/>
    </row>
    <row r="11" spans="2:6" ht="25.2" customHeight="1" x14ac:dyDescent="0.3">
      <c r="B11" s="81" t="s">
        <v>51</v>
      </c>
      <c r="C11" s="86">
        <f>(C4*(C5+(C7*C6))*C8/C9)</f>
        <v>261.24678362573098</v>
      </c>
    </row>
    <row r="12" spans="2:6" ht="4.95" customHeight="1" x14ac:dyDescent="0.3">
      <c r="B12" s="126"/>
      <c r="C12" s="127"/>
    </row>
  </sheetData>
  <mergeCells count="4">
    <mergeCell ref="B1:C1"/>
    <mergeCell ref="B2:C2"/>
    <mergeCell ref="B10:C10"/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13B2-82B2-4CAE-B4B8-626AB68D9841}">
  <dimension ref="B1:F11"/>
  <sheetViews>
    <sheetView workbookViewId="0">
      <selection activeCell="C4" sqref="C4"/>
    </sheetView>
  </sheetViews>
  <sheetFormatPr defaultRowHeight="14.4" x14ac:dyDescent="0.3"/>
  <cols>
    <col min="1" max="1" width="5.77734375" customWidth="1"/>
    <col min="2" max="2" width="35.77734375" customWidth="1"/>
    <col min="3" max="3" width="25.77734375" customWidth="1"/>
    <col min="4" max="15" width="10.77734375" customWidth="1"/>
  </cols>
  <sheetData>
    <row r="1" spans="2:6" x14ac:dyDescent="0.3">
      <c r="B1" s="91" t="s">
        <v>60</v>
      </c>
      <c r="C1" s="119"/>
      <c r="D1" s="71"/>
      <c r="E1" s="71"/>
      <c r="F1" s="71"/>
    </row>
    <row r="2" spans="2:6" x14ac:dyDescent="0.3">
      <c r="B2" s="120" t="s">
        <v>1</v>
      </c>
      <c r="C2" s="121"/>
      <c r="D2" s="71"/>
      <c r="E2" s="71"/>
      <c r="F2" s="71"/>
    </row>
    <row r="3" spans="2:6" x14ac:dyDescent="0.3">
      <c r="B3" s="55" t="s">
        <v>29</v>
      </c>
      <c r="C3" s="72" t="s">
        <v>37</v>
      </c>
    </row>
    <row r="4" spans="2:6" x14ac:dyDescent="0.3">
      <c r="B4" s="55" t="s">
        <v>66</v>
      </c>
      <c r="C4" s="73">
        <v>15</v>
      </c>
    </row>
    <row r="5" spans="2:6" x14ac:dyDescent="0.3">
      <c r="B5" s="55" t="s">
        <v>64</v>
      </c>
      <c r="C5" s="73">
        <v>16.670000000000002</v>
      </c>
    </row>
    <row r="6" spans="2:6" x14ac:dyDescent="0.3">
      <c r="B6" s="55" t="s">
        <v>62</v>
      </c>
      <c r="C6" s="90">
        <f>C5/C7</f>
        <v>1.1681850035038543</v>
      </c>
    </row>
    <row r="7" spans="2:6" x14ac:dyDescent="0.3">
      <c r="B7" s="55" t="s">
        <v>63</v>
      </c>
      <c r="C7" s="73">
        <v>14.27</v>
      </c>
    </row>
    <row r="8" spans="2:6" x14ac:dyDescent="0.3">
      <c r="B8" s="49" t="s">
        <v>8</v>
      </c>
      <c r="C8" s="89">
        <v>232.68</v>
      </c>
    </row>
    <row r="9" spans="2:6" s="54" customFormat="1" ht="4.95" customHeight="1" x14ac:dyDescent="0.3">
      <c r="B9" s="126"/>
      <c r="C9" s="127"/>
    </row>
    <row r="10" spans="2:6" ht="25.2" customHeight="1" x14ac:dyDescent="0.3">
      <c r="B10" s="81" t="s">
        <v>61</v>
      </c>
      <c r="C10" s="86">
        <f>C6*C7*C4</f>
        <v>250.05</v>
      </c>
    </row>
    <row r="11" spans="2:6" ht="4.95" customHeight="1" x14ac:dyDescent="0.3">
      <c r="B11" s="126"/>
      <c r="C11" s="127"/>
    </row>
  </sheetData>
  <mergeCells count="4">
    <mergeCell ref="B1:C1"/>
    <mergeCell ref="B2:C2"/>
    <mergeCell ref="B9:C9"/>
    <mergeCell ref="B11:C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88F8-2DF4-4D1E-8762-C5E3CBF44625}">
  <dimension ref="B1:F15"/>
  <sheetViews>
    <sheetView tabSelected="1" workbookViewId="0">
      <selection activeCell="C14" sqref="C14"/>
    </sheetView>
  </sheetViews>
  <sheetFormatPr defaultRowHeight="14.4" x14ac:dyDescent="0.3"/>
  <cols>
    <col min="2" max="3" width="30.77734375" customWidth="1"/>
  </cols>
  <sheetData>
    <row r="1" spans="2:6" x14ac:dyDescent="0.3">
      <c r="B1" s="91" t="s">
        <v>52</v>
      </c>
      <c r="C1" s="92"/>
      <c r="D1" s="71"/>
      <c r="E1" s="71"/>
      <c r="F1" s="71"/>
    </row>
    <row r="2" spans="2:6" x14ac:dyDescent="0.3">
      <c r="B2" s="126" t="s">
        <v>1</v>
      </c>
      <c r="C2" s="127"/>
      <c r="D2" s="75"/>
      <c r="E2" s="75"/>
      <c r="F2" s="75"/>
    </row>
    <row r="3" spans="2:6" ht="19.95" customHeight="1" x14ac:dyDescent="0.3">
      <c r="B3" s="49" t="s">
        <v>54</v>
      </c>
      <c r="C3" s="76">
        <f>DDM!D19</f>
        <v>258.97066225984219</v>
      </c>
    </row>
    <row r="4" spans="2:6" ht="19.95" customHeight="1" x14ac:dyDescent="0.3">
      <c r="B4" s="49" t="s">
        <v>55</v>
      </c>
      <c r="C4" s="77">
        <f>DCF!C21</f>
        <v>256.58526972034576</v>
      </c>
    </row>
    <row r="5" spans="2:6" ht="19.95" customHeight="1" x14ac:dyDescent="0.3">
      <c r="B5" s="49" t="s">
        <v>56</v>
      </c>
      <c r="C5" s="76">
        <f>Multiples!C13</f>
        <v>254.62453061417918</v>
      </c>
    </row>
    <row r="6" spans="2:6" ht="19.95" customHeight="1" x14ac:dyDescent="0.3">
      <c r="B6" s="49" t="s">
        <v>57</v>
      </c>
      <c r="C6" s="76">
        <f>'Graham''s Revised'!C11</f>
        <v>261.24678362573098</v>
      </c>
    </row>
    <row r="7" spans="2:6" ht="19.95" customHeight="1" x14ac:dyDescent="0.3">
      <c r="B7" s="49" t="s">
        <v>60</v>
      </c>
      <c r="C7" s="88">
        <f>'Peter Lynch''s Adapted FV'!C10</f>
        <v>250.05</v>
      </c>
    </row>
    <row r="8" spans="2:6" ht="4.95" customHeight="1" x14ac:dyDescent="0.3">
      <c r="B8" s="128"/>
      <c r="C8" s="129"/>
    </row>
    <row r="9" spans="2:6" ht="30" customHeight="1" x14ac:dyDescent="0.3">
      <c r="B9" s="81" t="s">
        <v>53</v>
      </c>
      <c r="C9" s="82">
        <f>AVERAGE(C3:C7)</f>
        <v>256.29544924401961</v>
      </c>
    </row>
    <row r="10" spans="2:6" ht="4.95" customHeight="1" x14ac:dyDescent="0.3">
      <c r="B10" s="128"/>
      <c r="C10" s="130"/>
    </row>
    <row r="11" spans="2:6" x14ac:dyDescent="0.3">
      <c r="B11" s="78" t="s">
        <v>8</v>
      </c>
      <c r="C11" s="79">
        <v>232.68</v>
      </c>
    </row>
    <row r="12" spans="2:6" x14ac:dyDescent="0.3">
      <c r="B12" s="78" t="s">
        <v>26</v>
      </c>
      <c r="C12" s="80">
        <f>(C11/C9)-1</f>
        <v>-9.2141508222938651E-2</v>
      </c>
    </row>
    <row r="13" spans="2:6" x14ac:dyDescent="0.3">
      <c r="B13" s="78" t="s">
        <v>58</v>
      </c>
      <c r="C13" s="80">
        <v>0.1</v>
      </c>
    </row>
    <row r="14" spans="2:6" ht="25.05" customHeight="1" x14ac:dyDescent="0.3">
      <c r="B14" s="87" t="s">
        <v>59</v>
      </c>
      <c r="C14" s="85">
        <f>(1-C13)*C9</f>
        <v>230.66590431961765</v>
      </c>
    </row>
    <row r="15" spans="2:6" ht="4.95" customHeight="1" x14ac:dyDescent="0.3">
      <c r="B15" s="128"/>
      <c r="C15" s="129"/>
    </row>
  </sheetData>
  <mergeCells count="5">
    <mergeCell ref="B2:C2"/>
    <mergeCell ref="B1:C1"/>
    <mergeCell ref="B8:C8"/>
    <mergeCell ref="B10:C10"/>
    <mergeCell ref="B15:C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E970AE-F891-4ADF-9C6C-B842218CF2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DDM</vt:lpstr>
      <vt:lpstr>DCF</vt:lpstr>
      <vt:lpstr>Multiples</vt:lpstr>
      <vt:lpstr>Graham's Revised</vt:lpstr>
      <vt:lpstr>Peter Lynch's Adapted FV</vt:lpstr>
      <vt:lpstr>Final Valuation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2025-10-15T23:23:33Z</dcterms:created>
  <dcterms:modified xsi:type="dcterms:W3CDTF">2025-12-11T23:04:27Z</dcterms:modified>
</cp:coreProperties>
</file>